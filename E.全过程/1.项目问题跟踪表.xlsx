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41037a1a8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表" sheetId="1" r:id="Rd059f102b5b04d9b"/>
  </x:sheets>
</x:workbook>
</file>

<file path=xl/sharedStrings.xml><?xml version="1.0" encoding="utf-8"?>
<x:sst xmlns:x="http://schemas.openxmlformats.org/spreadsheetml/2006/main">
  <x:si>
    <x:t xml:space="preserve">问题编号</x:t>
  </x:si>
  <x:si>
    <x:t xml:space="preserve">问题描述</x:t>
  </x:si>
  <x:si>
    <x:t xml:space="preserve">严重等级</x:t>
  </x:si>
  <x:si>
    <x:t xml:space="preserve">发现阶段</x:t>
  </x:si>
  <x:si>
    <x:t xml:space="preserve">发现者</x:t>
  </x:si>
  <x:si>
    <x:t xml:space="preserve">发现日期</x:t>
  </x:si>
  <x:si>
    <x:t xml:space="preserve">对策</x:t>
  </x:si>
  <x:si>
    <x:t xml:space="preserve">计划关闭日期</x:t>
  </x:si>
  <x:si>
    <x:t xml:space="preserve">关闭人</x:t>
  </x:si>
  <x:si>
    <x:t xml:space="preserve">实际关闭日期</x:t>
  </x:si>
  <x:si>
    <x:t xml:space="preserve">当前状态</x:t>
  </x:si>
  <x:si>
    <x:t xml:space="preserve">验证人</x:t>
  </x:si>
  <x:si>
    <x:t xml:space="preserve">备注</x:t>
  </x:si>
</x:sst>
</file>

<file path=xl/styles.xml><?xml version="1.0" encoding="utf-8"?>
<x:styleSheet xmlns:x="http://schemas.openxmlformats.org/spreadsheetml/2006/main">
  <x:numFmts count="1">
    <x:numFmt numFmtId="200" formatCode="yyyy/m/d"/>
  </x:numFmts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Alignment="1">
      <x:alignment horizontal="center" wrapText="1"/>
    </x:xf>
    <x:xf numFmtId="0" fontId="0" fillId="0" borderId="0" xfId="0" applyAlignment="1">
      <x:alignment vertical="center" wrapText="1"/>
    </x:xf>
    <x:xf numFmtId="14" fontId="0" fillId="0" borderId="0" xfId="0" applyNumberFormat="1" applyAlignment="1">
      <x:alignment vertical="center" wrapText="1"/>
    </x:xf>
    <x:xf numFmtId="14" fontId="0" fillId="0" borderId="0" xfId="0" applyNumberForma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cee49546e47fb" /><Relationship Type="http://schemas.openxmlformats.org/officeDocument/2006/relationships/theme" Target="/xl/theme/theme1.xml" Id="Re24eeb3b21a04459" /><Relationship Type="http://schemas.openxmlformats.org/officeDocument/2006/relationships/sharedStrings" Target="/xl/sharedStrings.xml" Id="R56c74521beeb4cbf" /><Relationship Type="http://schemas.openxmlformats.org/officeDocument/2006/relationships/worksheet" Target="/xl/worksheets/sheet1.xml" Id="Rd059f102b5b04d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5" customWidth="1"/>
    <x:col min="2" max="2" width="60" customWidth="1"/>
    <x:col min="3" max="3" width="8" customWidth="1"/>
    <x:col min="4" max="4" width="10" customWidth="1"/>
    <x:col min="5" max="5" width="8" customWidth="1"/>
    <x:col min="6" max="6" width="12" customWidth="1"/>
    <x:col min="7" max="7" width="60" customWidth="1"/>
    <x:col min="8" max="8" width="12" customWidth="1"/>
    <x:col min="9" max="9" width="8" customWidth="1"/>
    <x:col min="10" max="10" width="12" customWidth="1"/>
    <x:col min="11" max="12" width="8" customWidth="1"/>
    <x:col min="13" max="13" width="10" customWidth="1"/>
  </x:cols>
  <x:sheetData>
    <x:row r="1">
      <x:c r="A1" s="1" t="str">
        <x:v>项目名称</x:v>
      </x:c>
      <x:c r="B1" t="str">
        <x:v>AI面试官与人才评估系统</x:v>
      </x:c>
      <x:c r="C1" s="1" t="str">
        <x:v>项目编号</x:v>
      </x:c>
      <x:c r="D1" t="str">
        <x:v>AIIS-SRS-20260710</x:v>
      </x:c>
      <x:c r="E1" s="1" t="str">
        <x:v>项目经理</x:v>
      </x:c>
      <x:c r="F1" t="str">
        <x:v>陈海平</x:v>
      </x:c>
      <x:c r="G1" s="1" t="str">
        <x:v>问题总数</x:v>
      </x:c>
      <x:c r="H1" t="n">
        <x:f>COUNTA(A5:A22)</x:f>
        <x:v>18</x:v>
      </x:c>
      <x:c r="I1" s="1" t="str">
        <x:v>打开数</x:v>
      </x:c>
      <x:c r="J1" t="n">
        <x:f>COUNTIF(K5:K22,"打开")</x:f>
        <x:v>12</x:v>
      </x:c>
      <x:c r="K1" s="1" t="str">
        <x:v>关闭数</x:v>
      </x:c>
      <x:c r="L1" t="n">
        <x:f>COUNTIF(K5:K22,"关闭")</x:f>
        <x:v>6</x:v>
      </x:c>
      <x:c r="M1"/>
    </x:row>
    <x:row r="2">
      <x:c r="A2" s="1" t="str">
        <x:v>建立日期</x:v>
      </x:c>
      <x:c r="B2" s="6" t="n">
        <x:v>46213</x:v>
      </x:c>
      <x:c r="C2"/>
      <x:c r="D2"/>
      <x:c r="E2"/>
      <x:c r="F2"/>
      <x:c r="G2"/>
      <x:c r="H2"/>
      <x:c r="I2"/>
      <x:c r="J2"/>
      <x:c r="K2"/>
      <x:c r="L2"/>
      <x:c r="M2"/>
    </x:row>
    <x:row r="3" ht="5" customHeight="1"/>
    <x:row r="4" ht="31.5" customHeight="1">
      <x:c r="A4" s="2" t="s">
        <x:v>0</x:v>
      </x:c>
      <x:c r="B4" s="2" t="s">
        <x:v>1</x:v>
      </x:c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2" t="s">
        <x:v>8</x:v>
      </x:c>
      <x:c r="J4" s="2" t="s">
        <x:v>9</x:v>
      </x:c>
      <x:c r="K4" s="2" t="s">
        <x:v>10</x:v>
      </x:c>
      <x:c r="L4" s="2" t="s">
        <x:v>11</x:v>
      </x:c>
      <x:c r="M4" s="2" t="s">
        <x:v>12</x:v>
      </x:c>
    </x:row>
    <x:row r="5" ht="42" customHeight="1">
      <x:c r="A5" s="8" t="str">
        <x:v>AIIS_BUG_20260710_001</x:v>
      </x:c>
      <x:c r="B5" s="11" t="str">
        <x:v>PDF简历上传、解析和文件存储实现复杂，可能增加数据库及服务器压力。</x:v>
      </x:c>
      <x:c r="C5" s="8" t="str">
        <x:v>中</x:v>
      </x:c>
      <x:c r="D5" s="8" t="str">
        <x:v>需求阶段</x:v>
      </x:c>
      <x:c r="E5" s="8" t="str">
        <x:v>胡博</x:v>
      </x:c>
      <x:c r="F5" s="7" t="n">
        <x:v>46213</x:v>
      </x:c>
      <x:c r="G5" s="11" t="str">
        <x:v>取消PDF简历上传，改为面试者在线填写学历、工作经验、技能、个人经历和头像等结构化信息，统一存入MySQL。</x:v>
      </x:c>
      <x:c r="H5" s="7" t="n">
        <x:v>46215</x:v>
      </x:c>
      <x:c r="I5" s="8" t="str">
        <x:v>陈海平</x:v>
      </x:c>
      <x:c r="J5" s="7" t="n">
        <x:v>46215</x:v>
      </x:c>
      <x:c r="K5" s="8" t="str">
        <x:v>关闭</x:v>
      </x:c>
      <x:c r="L5" s="8" t="str">
        <x:v>袁诗琦</x:v>
      </x:c>
      <x:c r="M5" s="8" t="str">
        <x:v>需求裁剪</x:v>
      </x:c>
    </x:row>
    <x:row r="6" ht="42" customHeight="1">
      <x:c r="A6" s="8" t="str">
        <x:v>AIIS_BUG_20260710_002</x:v>
      </x:c>
      <x:c r="B6" s="11" t="str">
        <x:v>用户管理功能范围过大，注册、找回密码、修改密码等功能影响核心业务进度。</x:v>
      </x:c>
      <x:c r="C6" s="8" t="str">
        <x:v>中</x:v>
      </x:c>
      <x:c r="D6" s="8" t="str">
        <x:v>需求阶段</x:v>
      </x:c>
      <x:c r="E6" s="8" t="str">
        <x:v>陈海平</x:v>
      </x:c>
      <x:c r="F6" s="7" t="n">
        <x:v>46213</x:v>
      </x:c>
      <x:c r="G6" s="11" t="str">
        <x:v>简化账号体系，仅开放面试者注册；面试官账号由系统预置，暂不开发修改密码和找回密码功能。</x:v>
      </x:c>
      <x:c r="H6" s="7" t="n">
        <x:v>46213</x:v>
      </x:c>
      <x:c r="I6" s="8" t="str">
        <x:v>陈海平</x:v>
      </x:c>
      <x:c r="J6" s="7" t="n">
        <x:v>46213</x:v>
      </x:c>
      <x:c r="K6" s="8" t="str">
        <x:v>关闭</x:v>
      </x:c>
      <x:c r="L6" s="8" t="str">
        <x:v>袁诗琦</x:v>
      </x:c>
      <x:c r="M6" s="8" t="str">
        <x:v>范围控制</x:v>
      </x:c>
    </x:row>
    <x:row r="7" ht="42" customHeight="1">
      <x:c r="A7" s="8" t="str">
        <x:v>AIIS_BUG_20260710_003</x:v>
      </x:c>
      <x:c r="B7" s="11" t="str">
        <x:v>岗位薪资使用自由文本录入，格式不统一，难以进行筛选和比较。</x:v>
      </x:c>
      <x:c r="C7" s="8" t="str">
        <x:v>中</x:v>
      </x:c>
      <x:c r="D7" s="8" t="str">
        <x:v>设计阶段</x:v>
      </x:c>
      <x:c r="E7" s="8" t="str">
        <x:v>陈海平</x:v>
      </x:c>
      <x:c r="F7" s="7" t="n">
        <x:v>46213</x:v>
      </x:c>
      <x:c r="G7" s="11" t="str">
        <x:v>统一采用15K-25K等梯度区间格式，在需求和数据库设计中统一使用salary_range字段。</x:v>
      </x:c>
      <x:c r="H7" s="7" t="n">
        <x:v>46215</x:v>
      </x:c>
      <x:c r="I7" s="8" t="str">
        <x:v>陈海平</x:v>
      </x:c>
      <x:c r="J7" s="7" t="n">
        <x:v>46215</x:v>
      </x:c>
      <x:c r="K7" s="8" t="str">
        <x:v>关闭</x:v>
      </x:c>
      <x:c r="L7" s="8" t="str">
        <x:v>袁诗琦</x:v>
      </x:c>
      <x:c r="M7" s="8" t="str">
        <x:v>数据标准</x:v>
      </x:c>
    </x:row>
    <x:row r="8" ht="42" customHeight="1">
      <x:c r="A8" s="8" t="str">
        <x:v>AIIS_BUG_20260712_004</x:v>
      </x:c>
      <x:c r="B8" s="11" t="str">
        <x:v>不同项目文档中的数据库选型表述不一致，存在MySQL与其他存储方案混用情况。</x:v>
      </x:c>
      <x:c r="C8" s="8" t="str">
        <x:v>高</x:v>
      </x:c>
      <x:c r="D8" s="8" t="str">
        <x:v>设计阶段</x:v>
      </x:c>
      <x:c r="E8" s="8" t="str">
        <x:v>胡博</x:v>
      </x:c>
      <x:c r="F8" s="7" t="n">
        <x:v>46215</x:v>
      </x:c>
      <x:c r="G8" s="11" t="str">
        <x:v>统一使用MySQL存储用户、岗位、面试、报告和通讯数据，并同步修订需求、架构和部署文档。</x:v>
      </x:c>
      <x:c r="H8" s="7" t="n">
        <x:v>46215</x:v>
      </x:c>
      <x:c r="I8" s="8" t="str">
        <x:v>康栩源</x:v>
      </x:c>
      <x:c r="J8" s="7" t="n">
        <x:v>46215</x:v>
      </x:c>
      <x:c r="K8" s="8" t="str">
        <x:v>关闭</x:v>
      </x:c>
      <x:c r="L8" s="8" t="str">
        <x:v>陈海平</x:v>
      </x:c>
      <x:c r="M8" s="8" t="str">
        <x:v>文档一致性</x:v>
      </x:c>
    </x:row>
    <x:row r="9" ht="42" customHeight="1">
      <x:c r="A9" s="8" t="str">
        <x:v>AIIS_BUG_20260712_005</x:v>
      </x:c>
      <x:c r="B9" s="11" t="str">
        <x:v>AI问题生成、RAG、语音识别和语调分析的技术边界描述不清。</x:v>
      </x:c>
      <x:c r="C9" s="8" t="str">
        <x:v>高</x:v>
      </x:c>
      <x:c r="D9" s="8" t="str">
        <x:v>设计阶段</x:v>
      </x:c>
      <x:c r="E9" s="8" t="str">
        <x:v>胡博</x:v>
      </x:c>
      <x:c r="F9" s="7" t="n">
        <x:v>46215</x:v>
      </x:c>
      <x:c r="G9" s="11" t="str">
        <x:v>明确LangChain、RAG和大语言模型负责问题及报告生成，Qwen-Audio和librosa负责语音内容与语调分析。</x:v>
      </x:c>
      <x:c r="H9" s="7" t="n">
        <x:v>46215</x:v>
      </x:c>
      <x:c r="I9" s="8" t="str">
        <x:v>胡博</x:v>
      </x:c>
      <x:c r="J9" s="7" t="n">
        <x:v>46215</x:v>
      </x:c>
      <x:c r="K9" s="8" t="str">
        <x:v>关闭</x:v>
      </x:c>
      <x:c r="L9" s="8" t="str">
        <x:v>陈海平</x:v>
      </x:c>
      <x:c r="M9" s="8" t="str">
        <x:v>技术边界</x:v>
      </x:c>
    </x:row>
    <x:row r="10" ht="42" customHeight="1">
      <x:c r="A10" s="8" t="str">
        <x:v>AIIS_BUG_20260716_006</x:v>
      </x:c>
      <x:c r="B10" s="11" t="str">
        <x:v>语音转写和AI分析耗时较长，提交回答时可能阻塞进入下一题。</x:v>
      </x:c>
      <x:c r="C10" s="8" t="str">
        <x:v>高</x:v>
      </x:c>
      <x:c r="D10" s="8" t="str">
        <x:v>编码阶段</x:v>
      </x:c>
      <x:c r="E10" s="8" t="str">
        <x:v>胡博</x:v>
      </x:c>
      <x:c r="F10" s="7" t="n">
        <x:v>46213</x:v>
      </x:c>
      <x:c r="G10" s="11" t="str">
        <x:v>将媒体分析改为后台任务，提交回答后优先返回下一题，前端通过analysis_status轮询分析结果。</x:v>
      </x:c>
      <x:c r="H10" s="7" t="n">
        <x:v>46219</x:v>
      </x:c>
      <x:c r="I10" s="8" t="str">
        <x:v>胡博</x:v>
      </x:c>
      <x:c r="J10" s="7" t="n">
        <x:v>46219</x:v>
      </x:c>
      <x:c r="K10" s="8" t="str">
        <x:v>关闭</x:v>
      </x:c>
      <x:c r="L10" s="8" t="str">
        <x:v>袁诗琦</x:v>
      </x:c>
      <x:c r="M10" s="8" t="str">
        <x:v>需回归验证</x:v>
      </x:c>
    </x:row>
    <x:row r="11" ht="42" customHeight="1">
      <x:c r="A11" s="8" t="str">
        <x:v>AIIS_BUG_20260717_007</x:v>
      </x:c>
      <x:c r="B11" s="11" t="str">
        <x:v>现有项目问题跟踪表仍保留YOLOv5自动标注项目名称、编号及12条无关问题。</x:v>
      </x:c>
      <x:c r="C11" s="8" t="str">
        <x:v>高</x:v>
      </x:c>
      <x:c r="D11" s="8" t="str">
        <x:v>全过程</x:v>
      </x:c>
      <x:c r="E11" s="8" t="str">
        <x:v>袁诗琦</x:v>
      </x:c>
      <x:c r="F11" s="7" t="n">
        <x:v>46220</x:v>
      </x:c>
      <x:c r="G11" s="11" t="str">
        <x:v>将表头、问题编号和问题内容全部替换为AI面试项目数据，旧表单独归档，并重新计算问题总数、打开数和关闭数。</x:v>
      </x:c>
      <x:c r="H11" s="7" t="n">
        <x:v>46221</x:v>
      </x:c>
      <x:c r="I11" s="8" t="str">
        <x:v>康栩源</x:v>
      </x:c>
      <x:c r="J11" s="7"/>
      <x:c r="K11" s="8" t="str">
        <x:v>打开</x:v>
      </x:c>
      <x:c r="L11" s="8" t="str">
        <x:v>陈海平</x:v>
      </x:c>
      <x:c r="M11" s="8" t="str">
        <x:v>配置管理</x:v>
      </x:c>
    </x:row>
    <x:row r="12" ht="42" customHeight="1">
      <x:c r="A12" s="8" t="str">
        <x:v>AIIS_BUG_20260717_008</x:v>
      </x:c>
      <x:c r="B12" s="11" t="str">
        <x:v>Docker发布包中的backend目录与独立backend_V1.4代码不一致，部署后可能缺少最新版接口和修复。</x:v>
      </x:c>
      <x:c r="C12" s="8" t="str">
        <x:v>高</x:v>
      </x:c>
      <x:c r="D12" s="8" t="str">
        <x:v>部署阶段</x:v>
      </x:c>
      <x:c r="E12" s="8" t="str">
        <x:v>康栩源</x:v>
      </x:c>
      <x:c r="F12" s="7" t="n">
        <x:v>46220</x:v>
      </x:c>
      <x:c r="G12" s="11" t="str">
        <x:v>确定唯一发布基线，将V1.4代码、Dockerfile和数据库迁移脚本合并后重新构建镜像，并记录版本号与文件校验值。</x:v>
      </x:c>
      <x:c r="H12" s="7" t="n">
        <x:v>46221</x:v>
      </x:c>
      <x:c r="I12" s="8" t="str">
        <x:v>康栩源</x:v>
      </x:c>
      <x:c r="J12" s="7"/>
      <x:c r="K12" s="8" t="str">
        <x:v>打开</x:v>
      </x:c>
      <x:c r="L12" s="8" t="str">
        <x:v>袁诗琦</x:v>
      </x:c>
      <x:c r="M12" s="8" t="str">
        <x:v>版本一致性</x:v>
      </x:c>
    </x:row>
    <x:row r="13" ht="42" customHeight="1">
      <x:c r="A13" s="8" t="str">
        <x:v>AIIS_BUG_20260717_009</x:v>
      </x:c>
      <x:c r="B13" s="11" t="str">
        <x:v>面试详情、回答查询和回答提交接口缺少完整资源归属校验，登录用户可能枚举ID访问或提交他人的面试。</x:v>
      </x:c>
      <x:c r="C13" s="8" t="str">
        <x:v>高</x:v>
      </x:c>
      <x:c r="D13" s="8" t="str">
        <x:v>测试阶段</x:v>
      </x:c>
      <x:c r="E13" s="8" t="str">
        <x:v>袁诗琦</x:v>
      </x:c>
      <x:c r="F13" s="7" t="n">
        <x:v>46220</x:v>
      </x:c>
      <x:c r="G13" s="11" t="str">
        <x:v>增加统一面试访问校验，面试官只能访问本人创建的面试，面试者只能访问本人面试；提交回答时同时校验开放时间、题目顺序和面试状态。</x:v>
      </x:c>
      <x:c r="H13" s="7" t="n">
        <x:v>46221</x:v>
      </x:c>
      <x:c r="I13" s="8" t="str">
        <x:v>陈海平</x:v>
      </x:c>
      <x:c r="J13" s="7"/>
      <x:c r="K13" s="8" t="str">
        <x:v>打开</x:v>
      </x:c>
      <x:c r="L13" s="8" t="str">
        <x:v>袁诗琦</x:v>
      </x:c>
      <x:c r="M13" s="8" t="str">
        <x:v>越权访问</x:v>
      </x:c>
    </x:row>
    <x:row r="14" ht="42" customHeight="1">
      <x:c r="A14" s="8" t="str">
        <x:v>AIIS_BUG_20260717_010</x:v>
      </x:c>
      <x:c r="B14" s="11" t="str">
        <x:v>报告列表、详情、评级和下载接口未充分校验所属面试官，且uploads静态目录可绕过API鉴权直接访问报告和回答媒体。</x:v>
      </x:c>
      <x:c r="C14" s="8" t="str">
        <x:v>高</x:v>
      </x:c>
      <x:c r="D14" s="8" t="str">
        <x:v>测试阶段</x:v>
      </x:c>
      <x:c r="E14" s="8" t="str">
        <x:v>袁诗琦</x:v>
      </x:c>
      <x:c r="F14" s="7" t="n">
        <x:v>46220</x:v>
      </x:c>
      <x:c r="G14" s="11" t="str">
        <x:v>报告查询按当前用户过滤并验证资源归属；回答媒体和报告文件改为鉴权下载接口或短期签名地址，不再公开挂载敏感目录。</x:v>
      </x:c>
      <x:c r="H14" s="7" t="n">
        <x:v>46221</x:v>
      </x:c>
      <x:c r="I14" s="8" t="str">
        <x:v>陈海平</x:v>
      </x:c>
      <x:c r="J14" s="7"/>
      <x:c r="K14" s="8" t="str">
        <x:v>打开</x:v>
      </x:c>
      <x:c r="L14" s="8" t="str">
        <x:v>袁诗琦</x:v>
      </x:c>
      <x:c r="M14" s="8" t="str">
        <x:v>隐私安全</x:v>
      </x:c>
    </x:row>
    <x:row r="15" ht="42" customHeight="1">
      <x:c r="A15" s="8" t="str">
        <x:v>AIIS_BUG_20260717_011</x:v>
      </x:c>
      <x:c r="B15" s="11" t="str">
        <x:v>消息发送接口会校验频道成员，但消息读取接口没有校验当前用户是否属于该频道。</x:v>
      </x:c>
      <x:c r="C15" s="8" t="str">
        <x:v>高</x:v>
      </x:c>
      <x:c r="D15" s="8" t="str">
        <x:v>测试阶段</x:v>
      </x:c>
      <x:c r="E15" s="8" t="str">
        <x:v>袁诗琦</x:v>
      </x:c>
      <x:c r="F15" s="7" t="n">
        <x:v>46220</x:v>
      </x:c>
      <x:c r="G15" s="11" t="str">
        <x:v>读取消息时传入当前用户并校验interviewer_id或interviewee_id，不属于频道统一返回403。</x:v>
      </x:c>
      <x:c r="H15" s="7" t="n">
        <x:v>46221</x:v>
      </x:c>
      <x:c r="I15" s="8" t="str">
        <x:v>陈海平</x:v>
      </x:c>
      <x:c r="J15" s="7"/>
      <x:c r="K15" s="8" t="str">
        <x:v>打开</x:v>
      </x:c>
      <x:c r="L15" s="8" t="str">
        <x:v>袁诗琦</x:v>
      </x:c>
      <x:c r="M15" s="8" t="str">
        <x:v>通讯越权</x:v>
      </x:c>
    </x:row>
    <x:row r="16" ht="42" customHeight="1">
      <x:c r="A16" s="8" t="str">
        <x:v>AIIS_BUG_20260717_012</x:v>
      </x:c>
      <x:c r="B16" s="11" t="str">
        <x:v>系统存在固定管理员密码、默认数据库密码和公开的JWT默认密钥，发布包中还包含.env文件。</x:v>
      </x:c>
      <x:c r="C16" s="8" t="str">
        <x:v>高</x:v>
      </x:c>
      <x:c r="D16" s="8" t="str">
        <x:v>部署阶段</x:v>
      </x:c>
      <x:c r="E16" s="8" t="str">
        <x:v>康栩源</x:v>
      </x:c>
      <x:c r="F16" s="7" t="n">
        <x:v>46220</x:v>
      </x:c>
      <x:c r="G16" s="11" t="str">
        <x:v>生产启动时禁止使用默认密钥和密码，首次启动生成管理员密码；从成果包移除真实.env文件并轮换已使用的API Key和JWT密钥。</x:v>
      </x:c>
      <x:c r="H16" s="7" t="n">
        <x:v>46221</x:v>
      </x:c>
      <x:c r="I16" s="8" t="str">
        <x:v>康栩源</x:v>
      </x:c>
      <x:c r="J16" s="7"/>
      <x:c r="K16" s="8" t="str">
        <x:v>打开</x:v>
      </x:c>
      <x:c r="L16" s="8" t="str">
        <x:v>袁诗琦</x:v>
      </x:c>
      <x:c r="M16" s="8" t="str">
        <x:v>凭据安全</x:v>
      </x:c>
    </x:row>
    <x:row r="17" ht="42" customHeight="1">
      <x:c r="A17" s="8" t="str">
        <x:v>AIIS_BUG_20260717_013</x:v>
      </x:c>
      <x:c r="B17" s="11" t="str">
        <x:v>需求规约明确系统仅支持语音、不包含视频和表情识别，但V1.4代码已加入视频、表情及肢体分析。</x:v>
      </x:c>
      <x:c r="C17" s="8" t="str">
        <x:v>高</x:v>
      </x:c>
      <x:c r="D17" s="8" t="str">
        <x:v>设计阶段</x:v>
      </x:c>
      <x:c r="E17" s="8" t="str">
        <x:v>袁诗琦</x:v>
      </x:c>
      <x:c r="F17" s="7" t="n">
        <x:v>46220</x:v>
      </x:c>
      <x:c r="G17" s="11" t="str">
        <x:v>由项目经理确认最终范围；若保留视频功能，提交需求变更并升级SRS、架构、接口、测试和用户手册版本；否则从发布版移除视频功能。</x:v>
      </x:c>
      <x:c r="H17" s="7" t="n">
        <x:v>46221</x:v>
      </x:c>
      <x:c r="I17" s="8" t="str">
        <x:v>陈海平</x:v>
      </x:c>
      <x:c r="J17" s="7"/>
      <x:c r="K17" s="8" t="str">
        <x:v>打开</x:v>
      </x:c>
      <x:c r="L17" s="8" t="str">
        <x:v>胡博</x:v>
      </x:c>
      <x:c r="M17" s="8" t="str">
        <x:v>需求变更</x:v>
      </x:c>
    </x:row>
    <x:row r="18" ht="42" customHeight="1">
      <x:c r="A18" s="8" t="str">
        <x:v>AIIS_BUG_20260717_014</x:v>
      </x:c>
      <x:c r="B18" s="11" t="str">
        <x:v>测试计划仍使用audio_file旧字段和旧报告接口路径，全部测试检查项未勾选，仓库中缺少正式测试报告。</x:v>
      </x:c>
      <x:c r="C18" s="8" t="str">
        <x:v>高</x:v>
      </x:c>
      <x:c r="D18" s="8" t="str">
        <x:v>测试阶段</x:v>
      </x:c>
      <x:c r="E18" s="8" t="str">
        <x:v>袁诗琦</x:v>
      </x:c>
      <x:c r="F18" s="7" t="n">
        <x:v>46220</x:v>
      </x:c>
      <x:c r="G18" s="11" t="str">
        <x:v>按V1.4更新为media_file及当前报告接口，补充跨账号越权、视频、RAG和降级测试，执行用例并形成测试报告。</x:v>
      </x:c>
      <x:c r="H18" s="7" t="n">
        <x:v>46221</x:v>
      </x:c>
      <x:c r="I18" s="8" t="str">
        <x:v>袁诗琦</x:v>
      </x:c>
      <x:c r="J18" s="7"/>
      <x:c r="K18" s="8" t="str">
        <x:v>打开</x:v>
      </x:c>
      <x:c r="L18" s="8" t="str">
        <x:v>陈海平</x:v>
      </x:c>
      <x:c r="M18" s="8" t="str">
        <x:v>测试缺失</x:v>
      </x:c>
    </x:row>
    <x:row r="19" ht="42" customHeight="1">
      <x:c r="A19" s="8" t="str">
        <x:v>AIIS_BUG_20260717_015</x:v>
      </x:c>
      <x:c r="B19" s="11" t="str">
        <x:v>需求规定每题回答不超过30秒，但前端默认倒计时为90秒，后端也没有校验媒体时长。</x:v>
      </x:c>
      <x:c r="C19" s="8" t="str">
        <x:v>中</x:v>
      </x:c>
      <x:c r="D19" s="8" t="str">
        <x:v>测试阶段</x:v>
      </x:c>
      <x:c r="E19" s="8" t="str">
        <x:v>袁诗琦</x:v>
      </x:c>
      <x:c r="F19" s="7" t="n">
        <x:v>46220</x:v>
      </x:c>
      <x:c r="G19" s="11" t="str">
        <x:v>前端统一使用30秒倒计时；后端读取媒体时长并拒绝超过限制的回答，防止绕过前端直接上传超长文件。</x:v>
      </x:c>
      <x:c r="H19" s="7" t="n">
        <x:v>46221</x:v>
      </x:c>
      <x:c r="I19" s="8" t="str">
        <x:v>吕翔宇、陈海平</x:v>
      </x:c>
      <x:c r="J19" s="7"/>
      <x:c r="K19" s="8" t="str">
        <x:v>打开</x:v>
      </x:c>
      <x:c r="L19" s="8" t="str">
        <x:v>袁诗琦</x:v>
      </x:c>
      <x:c r="M19" s="8" t="str">
        <x:v>规则不一致</x:v>
      </x:c>
    </x:row>
    <x:row r="20" ht="42" customHeight="1">
      <x:c r="A20" s="8" t="str">
        <x:v>AIIS_BUG_20260717_016</x:v>
      </x:c>
      <x:c r="B20" s="11" t="str">
        <x:v>岗位接口未实现需求中的薪资筛选；报告按job_id筛选时却使用岗位标题字符串进行包含匹配。</x:v>
      </x:c>
      <x:c r="C20" s="8" t="str">
        <x:v>中</x:v>
      </x:c>
      <x:c r="D20" s="8" t="str">
        <x:v>测试阶段</x:v>
      </x:c>
      <x:c r="E20" s="8" t="str">
        <x:v>袁诗琦</x:v>
      </x:c>
      <x:c r="F20" s="7" t="n">
        <x:v>46220</x:v>
      </x:c>
      <x:c r="G20" s="11" t="str">
        <x:v>为薪资设置标准化区间并实现筛选；报告查询通过Interview和Job关联表按真实job_id过滤，增加多岗位回归用例。</x:v>
      </x:c>
      <x:c r="H20" s="7" t="n">
        <x:v>46221</x:v>
      </x:c>
      <x:c r="I20" s="8" t="str">
        <x:v>陈海平</x:v>
      </x:c>
      <x:c r="J20" s="7"/>
      <x:c r="K20" s="8" t="str">
        <x:v>打开</x:v>
      </x:c>
      <x:c r="L20" s="8" t="str">
        <x:v>袁诗琦</x:v>
      </x:c>
      <x:c r="M20" s="8" t="str">
        <x:v>筛选错误</x:v>
      </x:c>
    </x:row>
    <x:row r="21" ht="42" customHeight="1">
      <x:c r="A21" s="8" t="str">
        <x:v>AIIS_BUG_20260717_017</x:v>
      </x:c>
      <x:c r="B21" s="11" t="str">
        <x:v>面试开放时间未校验结束时间必须晚于开始时间，interview_mode和max_rounds也缺少枚举及范围限制。</x:v>
      </x:c>
      <x:c r="C21" s="8" t="str">
        <x:v>中</x:v>
      </x:c>
      <x:c r="D21" s="8" t="str">
        <x:v>测试阶段</x:v>
      </x:c>
      <x:c r="E21" s="8" t="str">
        <x:v>袁诗琦</x:v>
      </x:c>
      <x:c r="F21" s="7" t="n">
        <x:v>46220</x:v>
      </x:c>
      <x:c r="G21" s="11" t="str">
        <x:v>增加Pydantic业务校验：结束时间晚于开始时间、模式限定为preset或agent、轮数限制在合理范围，并校验合法状态流转。</x:v>
      </x:c>
      <x:c r="H21" s="7" t="n">
        <x:v>46221</x:v>
      </x:c>
      <x:c r="I21" s="8" t="str">
        <x:v>陈海平</x:v>
      </x:c>
      <x:c r="J21" s="7"/>
      <x:c r="K21" s="8" t="str">
        <x:v>打开</x:v>
      </x:c>
      <x:c r="L21" s="8" t="str">
        <x:v>袁诗琦</x:v>
      </x:c>
      <x:c r="M21" s="8" t="str">
        <x:v>参数边界</x:v>
      </x:c>
    </x:row>
    <x:row r="22" ht="42" customHeight="1">
      <x:c r="A22" s="8" t="str">
        <x:v>AIIS_BUG_20260717_018</x:v>
      </x:c>
      <x:c r="B22" s="11" t="str">
        <x:v>AI服务失败时会生成固定的正面评价、建议录用及固定分数，可能被误认为真实评估结果。</x:v>
      </x:c>
      <x:c r="C22" s="8" t="str">
        <x:v>高</x:v>
      </x:c>
      <x:c r="D22" s="8" t="str">
        <x:v>测试阶段</x:v>
      </x:c>
      <x:c r="E22" s="8" t="str">
        <x:v>袁诗琦</x:v>
      </x:c>
      <x:c r="F22" s="7" t="n">
        <x:v>46220</x:v>
      </x:c>
      <x:c r="G22" s="11" t="str">
        <x:v>AI失败时将报告标记为降级或失败，不生成固定录用建议；前端明确提示人工复核，并保存失败原因、模型版本和调用状态。</x:v>
      </x:c>
      <x:c r="H22" s="7" t="n">
        <x:v>46221</x:v>
      </x:c>
      <x:c r="I22" s="8" t="str">
        <x:v>胡博</x:v>
      </x:c>
      <x:c r="J22" s="7"/>
      <x:c r="K22" s="8" t="str">
        <x:v>打开</x:v>
      </x:c>
      <x:c r="L22" s="8" t="str">
        <x:v>袁诗琦</x:v>
      </x:c>
      <x:c r="M22" s="8" t="str">
        <x:v>评估可信度</x:v>
      </x:c>
    </x:row>
  </x:sheetData>
  <x:dataValidations count="3">
    <x:dataValidation type="list" sqref="C5:C22">
      <x:formula1>"低,中,高"</x:formula1>
    </x:dataValidation>
    <x:dataValidation type="list" sqref="D5:D22">
      <x:formula1>"需求阶段,设计阶段,编码阶段,测试阶段,部署阶段,全过程"</x:formula1>
    </x:dataValidation>
    <x:dataValidation type="list" sqref="K5:K22">
      <x:formula1>"打开,关闭"</x:formula1>
    </x:dataValidation>
  </x:dataValidations>
  <x:pageMargins left="0.7" right="0.7" top="0.75" bottom="0.75" header="0.3" footer="0.3"/>
</x:worksheet>
</file>